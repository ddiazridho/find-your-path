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atatan" sheetId="2" state="visible" r:id="rId4"/>
  </sheets>
  <definedNames>
    <definedName function="false" hidden="true" localSheetId="0" name="_xlnm._FilterDatabase" vbProcedure="false">Data!$A$1:$M$34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<sst xmlns="http://schemas.openxmlformats.org/spreadsheetml/2006/main" count="325" uniqueCount="165">
  <si>
    <t xml:space="preserve">id</t>
  </si>
  <si>
    <t xml:space="preserve">bidang</t>
  </si>
  <si>
    <t xml:space="preserve">jenjang</t>
  </si>
  <si>
    <t xml:space="preserve">jurusan</t>
  </si>
  <si>
    <t xml:space="preserve">universitas</t>
  </si>
  <si>
    <t xml:space="preserve">lokasi</t>
  </si>
  <si>
    <t xml:space="preserve">biaya_min_per_semester</t>
  </si>
  <si>
    <t xml:space="preserve">biaya_max_per_semester</t>
  </si>
  <si>
    <t xml:space="preserve">rentang_biaya</t>
  </si>
  <si>
    <t xml:space="preserve">minat</t>
  </si>
  <si>
    <t xml:space="preserve">catatan_biaya</t>
  </si>
  <si>
    <t xml:space="preserve">url_sumber</t>
  </si>
  <si>
    <t xml:space="preserve">tanggal_scrape</t>
  </si>
  <si>
    <t xml:space="preserve">JRS-001</t>
  </si>
  <si>
    <t xml:space="preserve">Teknologi</t>
  </si>
  <si>
    <t xml:space="preserve">S1</t>
  </si>
  <si>
    <t xml:space="preserve">Ilmu Komputer</t>
  </si>
  <si>
    <t xml:space="preserve">Universitas Indonesia</t>
  </si>
  <si>
    <t xml:space="preserve">Depok</t>
  </si>
  <si>
    <t xml:space="preserve">Program sarjana (S1). Apa yang dipelajari: Dasar ilmu komputer: algoritma dan struktur data, teori komputasi, sistem operasi, basis data, kecerdasan buatan, dan pembelajaran mesin. Cocok untuk siswa yang: suka memecahkan masalah logika, penasaran cara kerja aplikasi, game, dan AI, serta nyaman dengan matematika dan ngoding dalam waktu lama. Skill yang dibangun: pemrograman, analisis algoritma, machine learning, berpikir komputasional. Profil karier: software engineer, AI/ML engineer, data scientist, peneliti, backend developer, atau pendiri startup teknologi. Ciri khas: Dikelola Fakultas Ilmu Komputer UI di Depok; PTN dengan reputasi riset kuat dan jaringan alumni luas di industri Jakarta.</t>
  </si>
  <si>
    <t xml:space="preserve">UKT jalur Mandiri 2026 (kelompok 1-9). Angka SNBP/SNBT tidak terverifikasi: sumber sekunder saling bertentangan.</t>
  </si>
  <si>
    <t xml:space="preserve">https://www.detik.com/edu/seleksi-masuk-pt/d-8485896/daftar-ukt-dan-ipi-ui-jalur-mandiri-2026-prodi-s1-d4-kedokteran-tembus-rp-20-juta ; https://www.beritasatu.com/nasional/2998056/daftar-ukt-jalur-mandiri-ui-2026-kedokteran-termahal</t>
  </si>
  <si>
    <t xml:space="preserve">JRS-002</t>
  </si>
  <si>
    <t xml:space="preserve">Sistem Informasi</t>
  </si>
  <si>
    <t xml:space="preserve">Program sarjana (S1). Apa yang dipelajari: Menghubungkan teknologi dengan proses bisnis: analisis dan perancangan sistem, basis data, ERP, manajemen proyek TI, dan tata kelola teknologi informasi. Cocok untuk siswa yang: tertarik pada teknologi tetapi juga suka memahami cara kerja organisasi dan bisnis, tidak hanya ngoding murni. Skill yang dibangun: analisis kebutuhan, pemodelan proses bisnis, basis data, manajemen proyek, komunikasi dengan pengguna. Profil karier: business analyst, system analyst, IT consultant, product manager, project manager TI, atau data analyst. Ciri khas: Dikelola Fakultas Ilmu Komputer UI di Depok; PTN dengan reputasi riset kuat dan jaringan alumni luas di industri Jakarta.</t>
  </si>
  <si>
    <t xml:space="preserve">UKT jalur Mandiri 2026 (kelompok 1-9). Angka SNBP/SNBT tidak terverifikasi.</t>
  </si>
  <si>
    <t xml:space="preserve">JRS-003</t>
  </si>
  <si>
    <t xml:space="preserve">Bisnis</t>
  </si>
  <si>
    <t xml:space="preserve">Manajemen</t>
  </si>
  <si>
    <t xml:space="preserve">Program sarjana (S1). Apa yang dipelajari: Pemasaran, keuangan, sumber daya manusia, operasi, dan strategi bisnis untuk mengelola organisasi. Cocok untuk siswa yang: suka memimpin dan berorganisasi, tertarik pada cara perusahaan tumbuh, dan senang bernegosiasi atau menganalisis pasar. Skill yang dibangun: analisis bisnis, komunikasi, kepemimpinan, pengambilan keputusan berbasis data. Profil karier: marketing manager, business development, analis keuangan, HR specialist, konsultan, atau wirausahawan. Ciri khas: Dikelola Fakultas Ekonomi dan Bisnis UI; PTN dengan jaringan alumni luas di sektor keuangan dan korporasi.</t>
  </si>
  <si>
    <t xml:space="preserve">UKT jalur Mandiri 2026; sumber menyebut batas atas Rp14-14,6 juta, dipakai angka tertinggi. Angka SNBP/SNBT tidak terverifikasi.</t>
  </si>
  <si>
    <t xml:space="preserve">JRS-004</t>
  </si>
  <si>
    <t xml:space="preserve">Informatika</t>
  </si>
  <si>
    <t xml:space="preserve">Institut Teknologi Bandung</t>
  </si>
  <si>
    <t xml:space="preserve">Bandung</t>
  </si>
  <si>
    <t xml:space="preserve">Program sarjana (S1). Apa yang dipelajari: Dasar ilmu komputer: algoritma dan struktur data, teori komputasi, sistem operasi, basis data, kecerdasan buatan, dan pembelajaran mesin. Cocok untuk siswa yang: suka memecahkan masalah logika, penasaran cara kerja aplikasi, game, dan AI, serta nyaman dengan matematika dan ngoding dalam waktu lama. Skill yang dibangun: pemrograman, analisis algoritma, machine learning, berpikir komputasional. Profil karier: software engineer, AI/ML engineer, data scientist, peneliti, backend developer, atau pendiri startup teknologi. Ciri khas: Berada di STEI ITB, Bandung; PTN teknik dengan seleksi sangat ketat dan budaya akademik yang berat di matematika serta algoritma.</t>
  </si>
  <si>
    <t xml:space="preserve">UKT 1-7 STEI 2026. rentang dari kelompok terendah ke tertinggi. Belum termasuk IPI/uang pangkal (jalur mandiri).</t>
  </si>
  <si>
    <t xml:space="preserve">https://kabar24.bisnis.com/read/20260609/15/1979471/rincian-biaya-masuk-kuliah-ptn-2026-ugm-ui-dan-itb</t>
  </si>
  <si>
    <t xml:space="preserve">JRS-005</t>
  </si>
  <si>
    <t xml:space="preserve">Sistem dan Teknologi Informasi</t>
  </si>
  <si>
    <t xml:space="preserve">Program sarjana (S1). Apa yang dipelajari: Arsitektur sistem informasi, rekayasa data, keamanan siber, komputasi awan, dan pengelolaan teknologi informasi skala organisasi. Cocok untuk siswa yang: suka memahami sistem teknologi secara menyeluruh, tertarik pada data dan keamanan, dan menyukai tantangan teknis. Skill yang dibangun: perancangan arsitektur, keamanan sistem, analisis data, integrasi layanan. Profil karier: IT architect, security analyst, data engineer, cloud engineer, atau konsultan teknologi. Ciri khas: Berada di STEI ITB, Bandung; PTN teknik dengan seleksi sangat ketat dan budaya akademik yang berat di matematika serta algoritma.</t>
  </si>
  <si>
    <t xml:space="preserve">UKT 1-7 STEI 2026.</t>
  </si>
  <si>
    <t xml:space="preserve">JRS-006</t>
  </si>
  <si>
    <t xml:space="preserve">Program sarjana (S1). Apa yang dipelajari: Pemasaran, keuangan, sumber daya manusia, operasi, dan strategi bisnis untuk mengelola organisasi. Cocok untuk siswa yang: suka memimpin dan berorganisasi, tertarik pada cara perusahaan tumbuh, dan senang bernegosiasi atau menganalisis pasar. Skill yang dibangun: analisis bisnis, komunikasi, kepemimpinan, pengambilan keputusan berbasis data. Profil karier: marketing manager, business development, analis keuangan, HR specialist, konsultan, atau wirausahawan. Ciri khas: Berada di Sekolah Bisnis dan Manajemen ITB, Bandung; pendekatan bisnis dengan latar teknologi dan sains.</t>
  </si>
  <si>
    <t xml:space="preserve">UKT 1-7 SBM 2026.</t>
  </si>
  <si>
    <t xml:space="preserve">JRS-007</t>
  </si>
  <si>
    <t xml:space="preserve">Kewirausahaan</t>
  </si>
  <si>
    <t xml:space="preserve">Program sarjana (S1). Apa yang dipelajari: Merancang dan menjalankan bisnis baru: validasi ide, model bisnis, pemasaran, keuangan startup, dan inovasi produk. Cocok untuk siswa yang: punya jiwa pencipta, ingin membangun usaha atau startup sendiri, dan berani mengambil risiko terukur. Skill yang dibangun: perancangan model bisnis, pitching, pemasaran, pengelolaan keuangan usaha. Profil karier: founder startup, product manager, business developer, atau pengelola bisnis keluarga. Ciri khas: Berada di Sekolah Bisnis dan Manajemen ITB, Bandung; pendekatan bisnis dengan latar teknologi dan sains.</t>
  </si>
  <si>
    <t xml:space="preserve">UKT 1-7 SBM 2026. Prodi tercantum pada tabel program internasional di sumber; diasumsikan juga ada di program reguler.</t>
  </si>
  <si>
    <t xml:space="preserve">JRS-008</t>
  </si>
  <si>
    <t xml:space="preserve">Universitas Gadjah Mada</t>
  </si>
  <si>
    <t xml:space="preserve">Sleman, DI Yogyakarta</t>
  </si>
  <si>
    <t xml:space="preserve">Program sarjana (S1). Apa yang dipelajari: Dasar ilmu komputer: algoritma dan struktur data, teori komputasi, sistem operasi, basis data, kecerdasan buatan, dan pembelajaran mesin. Cocok untuk siswa yang: suka memecahkan masalah logika, penasaran cara kerja aplikasi, game, dan AI, serta nyaman dengan matematika dan ngoding dalam waktu lama. Skill yang dibangun: pemrograman, analisis algoritma, machine learning, berpikir komputasional. Profil karier: software engineer, AI/ML engineer, data scientist, peneliti, backend developer, atau pendiri startup teknologi. Ciri khas: PTN di Yogyakarta dengan reputasi akademik kuat dan komunitas mahasiswa yang besar.</t>
  </si>
  <si>
    <t xml:space="preserve">UKT kelompok 1-2 = Rp0 (bersubsidi 100%); kelompok 6 = UKT penuh.</t>
  </si>
  <si>
    <t xml:space="preserve">JRS-009</t>
  </si>
  <si>
    <t xml:space="preserve">Teknologi Informasi</t>
  </si>
  <si>
    <t xml:space="preserve">Program sarjana (S1). Apa yang dipelajari: Pengembangan perangkat lunak, jaringan komputer, basis data, komputasi awan, dan penerapan teknologi informasi untuk kebutuhan organisasi. Cocok untuk siswa yang: suka utak-atik komputer dan aplikasi, ingin bekerja di bidang IT, dan menyukai kombinasi teori serta praktik. Skill yang dibangun: pemrograman, administrasi jaringan, pengelolaan basis data, pemecahan masalah teknis. Profil karier: software developer, network engineer, IT support lead, system administrator, atau cloud engineer. Ciri khas: PTN di Yogyakarta dengan reputasi akademik kuat dan komunitas mahasiswa yang besar.</t>
  </si>
  <si>
    <t xml:space="preserve">UKT kelompok 1-2 = Rp0; kelompok 6 = UKT penuh.</t>
  </si>
  <si>
    <t xml:space="preserve">JRS-010</t>
  </si>
  <si>
    <t xml:space="preserve">D4</t>
  </si>
  <si>
    <t xml:space="preserve">Teknologi Rekayasa Perangkat Lunak</t>
  </si>
  <si>
    <t xml:space="preserve">Program sarjana terapan (D4). Apa yang dipelajari: Siklus pengembangan perangkat lunak secara menyeluruh: analisis kebutuhan, desain, implementasi, pengujian, pemeliharaan, serta praktik DevOps. Cocok untuk siswa yang: suka membuat aplikasi web atau mobile, tertarik pada kerapian kode dan kerja tim, serta ingin cepat siap bekerja sebagai developer. Skill yang dibangun: pemrograman, desain arsitektur perangkat lunak, pengujian otomatis, version control, manajemen proyek perangkat lunak. Profil karier: software engineer, full-stack developer, mobile developer, QA engineer, atau scrum master. Ciri khas: Program sarjana terapan di Sekolah Vokasi UGM, Yogyakarta, dengan porsi praktik yang tinggi.</t>
  </si>
  <si>
    <t xml:space="preserve">JRS-011</t>
  </si>
  <si>
    <t xml:space="preserve">Program sarjana (S1). Apa yang dipelajari: Pemasaran, keuangan, sumber daya manusia, operasi, dan strategi bisnis untuk mengelola organisasi. Cocok untuk siswa yang: suka memimpin dan berorganisasi, tertarik pada cara perusahaan tumbuh, dan senang bernegosiasi atau menganalisis pasar. Skill yang dibangun: analisis bisnis, komunikasi, kepemimpinan, pengambilan keputusan berbasis data. Profil karier: marketing manager, business development, analis keuangan, HR specialist, konsultan, atau wirausahawan. Ciri khas: PTN di Yogyakarta dengan reputasi akademik kuat dan komunitas mahasiswa yang besar.</t>
  </si>
  <si>
    <t xml:space="preserve">JRS-012</t>
  </si>
  <si>
    <t xml:space="preserve">Perbankan</t>
  </si>
  <si>
    <t xml:space="preserve">Program sarjana terapan (D4). Apa yang dipelajari: Operasional perbankan, analisis kredit, manajemen risiko, produk keuangan, dan layanan nasabah dengan pendekatan terapan. Cocok untuk siswa yang: suka angka, teliti, tertarik pada dunia keuangan, dan ingin cepat siap kerja di bank atau lembaga keuangan. Skill yang dibangun: analisis keuangan, penilaian kredit, kepatuhan, layanan nasabah. Profil karier: staf perbankan, analis kredit, relationship officer, atau staf lembaga keuangan. Ciri khas: Program sarjana terapan di Sekolah Vokasi UGM, Yogyakarta, dengan porsi praktik yang tinggi.</t>
  </si>
  <si>
    <t xml:space="preserve">JRS-013</t>
  </si>
  <si>
    <t xml:space="preserve">Universitas Diponegoro</t>
  </si>
  <si>
    <t xml:space="preserve">Semarang</t>
  </si>
  <si>
    <t xml:space="preserve">Program sarjana (S1). Apa yang dipelajari: Rekayasa perangkat lunak, pemrograman web dan mobile, basis data, jaringan, keamanan informasi, dan dasar AI. Cocok untuk siswa yang: suka ngoding, bikin aplikasi atau game, dan ingin membangun produk digital yang dipakai banyak orang. Skill yang dibangun: pemrograman, desain sistem, pengujian perangkat lunak, kerja tim dalam proyek pengembangan. Profil karier: software developer, mobile/web developer, game developer, DevOps engineer, QA engineer, atau data engineer. Ciri khas: PTN di Semarang (Tembalang) dengan UKT maksimum yang relatif lebih rendah dibanding PTN besar lain di Jawa.</t>
  </si>
  <si>
    <t xml:space="preserve">UKT golongan 1-8.</t>
  </si>
  <si>
    <t xml:space="preserve">https://www.detik.com/jateng/berita/d-8452253/daftar-ukt-undip-2026-2027-lengkap-semua-jurusan-dan-penentuan-golongannya</t>
  </si>
  <si>
    <t xml:space="preserve">JRS-014</t>
  </si>
  <si>
    <t xml:space="preserve">Teknik Komputer</t>
  </si>
  <si>
    <t xml:space="preserve">Program sarjana (S1). Apa yang dipelajari: Perpaduan perangkat keras dan perangkat lunak: sistem tertanam, mikrokontroler, jaringan, IoT, dan robotika. Cocok untuk siswa yang: suka merakit atau memprogram perangkat elektronik, tertarik pada robot dan IoT, dan nyaman dengan fisika serta matematika. Skill yang dibangun: pemrograman embedded, desain rangkaian digital, jaringan, integrasi sensor. Profil karier: embedded systems engineer, IoT engineer, robotics engineer, network engineer, atau firmware developer. Ciri khas: PTN di Semarang (Tembalang) dengan UKT maksimum yang relatif lebih rendah dibanding PTN besar lain di Jawa.</t>
  </si>
  <si>
    <t xml:space="preserve">JRS-015</t>
  </si>
  <si>
    <t xml:space="preserve">Teknologi Rekayasa Otomasi</t>
  </si>
  <si>
    <t xml:space="preserve">Program sarjana terapan (D4). Apa yang dipelajari: Sistem otomasi industri: PLC, sensor, aktuator, instrumentasi, robotika, dan sistem kontrol, dengan porsi praktik laboratorium besar. Cocok untuk siswa yang: suka praktik langsung, tertarik pada mesin, robot, dan pabrik pintar, serta ingin cepat bekerja di industri manufaktur. Skill yang dibangun: pemrograman PLC, kontrol proses, pemeliharaan sistem otomasi, pemecahan masalah di lapangan. Profil karier: automation engineer, teknisi kontrol, maintenance engineer, atau system integrator industri. Ciri khas: Program sarjana terapan di Sekolah Vokasi Undip, Semarang, dengan orientasi kerja dan praktik.</t>
  </si>
  <si>
    <t xml:space="preserve">UKT golongan 1-7 (Departemen Teknologi Industri).</t>
  </si>
  <si>
    <t xml:space="preserve">JRS-016</t>
  </si>
  <si>
    <t xml:space="preserve">Program sarjana (S1). Apa yang dipelajari: Pemasaran, keuangan, sumber daya manusia, operasi, dan strategi bisnis untuk mengelola organisasi. Cocok untuk siswa yang: suka memimpin dan berorganisasi, tertarik pada cara perusahaan tumbuh, dan senang bernegosiasi atau menganalisis pasar. Skill yang dibangun: analisis bisnis, komunikasi, kepemimpinan, pengambilan keputusan berbasis data. Profil karier: marketing manager, business development, analis keuangan, HR specialist, konsultan, atau wirausahawan. Ciri khas: PTN di Semarang (Tembalang) dengan UKT maksimum yang relatif lebih rendah dibanding PTN besar lain di Jawa.</t>
  </si>
  <si>
    <t xml:space="preserve">JRS-017</t>
  </si>
  <si>
    <t xml:space="preserve">Administrasi Bisnis</t>
  </si>
  <si>
    <t xml:space="preserve">Program sarjana (S1). Apa yang dipelajari: Administrasi dan operasional bisnis: layanan pelanggan, pemasaran, pengelolaan kantor, dan manajemen usaha. Cocok untuk siswa yang: suka mengatur dan merapikan proses kerja, nyaman berinteraksi dengan orang, dan tertarik pada dunia usaha praktis. Skill yang dibangun: administrasi bisnis, komunikasi, pemasaran dasar, pengelolaan operasional. Profil karier: staf administrasi bisnis, marketing executive, supervisor operasional, atau wirausahawan. Ciri khas: PTN di Semarang (Tembalang) dengan UKT maksimum yang relatif lebih rendah dibanding PTN besar lain di Jawa.</t>
  </si>
  <si>
    <t xml:space="preserve">JRS-018</t>
  </si>
  <si>
    <t xml:space="preserve">Manajemen dan Administrasi Logistik</t>
  </si>
  <si>
    <t xml:space="preserve">Program sarjana terapan (D4). Apa yang dipelajari: Rantai pasok, pergudangan, distribusi, pengadaan, dan administrasi logistik dengan pendekatan terapan. Cocok untuk siswa yang: tertarik pada pergerakan barang dari pabrik ke konsumen, suka merapikan proses, dan ingin bekerja di industri e-commerce atau distribusi. Skill yang dibangun: perencanaan rantai pasok, manajemen persediaan, analisis biaya distribusi. Profil karier: supply chain planner, staf logistik, procurement officer, atau warehouse manager. Ciri khas: Program sarjana terapan di Sekolah Vokasi Undip, Semarang, dengan orientasi kerja dan praktik.</t>
  </si>
  <si>
    <t xml:space="preserve">UKT golongan 1-7 (Departemen Bisnis dan Keuangan).</t>
  </si>
  <si>
    <t xml:space="preserve">JRS-019</t>
  </si>
  <si>
    <t xml:space="preserve">Telkom University</t>
  </si>
  <si>
    <t xml:space="preserve">Program sarjana (S1). Apa yang dipelajari: Rekayasa perangkat lunak, pemrograman web dan mobile, basis data, jaringan, keamanan informasi, dan dasar AI. Cocok untuk siswa yang: suka ngoding, bikin aplikasi atau game, dan ingin membangun produk digital yang dipakai banyak orang. Skill yang dibangun: pemrograman, desain sistem, pengujian perangkat lunak, kerja tim dalam proyek pengembangan. Profil karier: software developer, mobile/web developer, game developer, DevOps engineer, QA engineer, atau data engineer. Ciri khas: PTS di Bandung yang terafiliasi dengan ekosistem Telkom Group dan dikenal kuat di bidang IT serta telekomunikasi.</t>
  </si>
  <si>
    <t xml:space="preserve">BPP per semester (tarif tetap; Tirto 2025/2026 dan situs Telkom cocok). Belum termasuk UP3 dan SDP2.</t>
  </si>
  <si>
    <t xml:space="preserve">https://tirto.id/biaya-kuliah-telkom-university-2025-2026-apakah-bisa-dicicil-g77X ; https://hive.telkomuniversity.ac.id/perbandingan-biaya-kuliah-telkom-university-bandung-dan-surabaya-ada-pilihanmu/</t>
  </si>
  <si>
    <t xml:space="preserve">JRS-020</t>
  </si>
  <si>
    <t xml:space="preserve">Rekayasa Perangkat Lunak</t>
  </si>
  <si>
    <t xml:space="preserve">Program sarjana (S1). Apa yang dipelajari: Siklus pengembangan perangkat lunak secara menyeluruh: analisis kebutuhan, desain, implementasi, pengujian, pemeliharaan, serta praktik DevOps. Cocok untuk siswa yang: suka membuat aplikasi web atau mobile, tertarik pada kerapian kode dan kerja tim, serta ingin cepat siap bekerja sebagai developer. Skill yang dibangun: pemrograman, desain arsitektur perangkat lunak, pengujian otomatis, version control, manajemen proyek perangkat lunak. Profil karier: software engineer, full-stack developer, mobile developer, QA engineer, atau scrum master. Ciri khas: PTS di Bandung yang terafiliasi dengan ekosistem Telkom Group dan dikenal kuat di bidang IT serta telekomunikasi.</t>
  </si>
  <si>
    <t xml:space="preserve">BPP per semester dari rilis situs Telkom yang tidak bertanggal (kemungkinan lebih lama dari 2025/2026): verifikasi ulang. Belum termasuk UP3 dan SDP2.</t>
  </si>
  <si>
    <t xml:space="preserve">JRS-021</t>
  </si>
  <si>
    <t xml:space="preserve">D3</t>
  </si>
  <si>
    <t xml:space="preserve">Program diploma (D3). Apa yang dipelajari: Pembuatan aplikasi bisnis, pengelolaan basis data, jaringan, dan implementasi sistem informasi di organisasi. Cocok untuk siswa yang: ingin cepat bekerja di bidang IT, suka praktik, dan tertarik pada aplikasi perkantoran atau bisnis. Skill yang dibangun: pemrograman dasar, basis data, administrasi sistem, dukungan teknis pengguna. Profil karier: programmer, system support, database administrator junior, atau staf IT perusahaan. Ciri khas: PTS di Bandung yang terafiliasi dengan ekosistem Telkom Group dan dikenal kuat di bidang IT serta telekomunikasi.</t>
  </si>
  <si>
    <t xml:space="preserve">BPP per semester dari rilis situs Telkom yang tidak bertanggal: verifikasi ulang. Belum termasuk UP3 dan SDP2.</t>
  </si>
  <si>
    <t xml:space="preserve">JRS-022</t>
  </si>
  <si>
    <t xml:space="preserve">Manajemen Bisnis Telekomunikasi dan Informatika</t>
  </si>
  <si>
    <t xml:space="preserve">Program sarjana (S1). Apa yang dipelajari: Manajemen bisnis di industri telekomunikasi dan teknologi informasi: strategi bisnis digital, pemasaran, keuangan, dan analisis pasar teknologi. Cocok untuk siswa yang: tertarik pada bisnis tetapi ingin berada dekat dengan industri teknologi dan telekomunikasi. Skill yang dibangun: strategi bisnis, analisis pasar teknologi, manajemen produk digital, komunikasi bisnis. Profil karier: product manager, business analyst, digital marketer, atau konsultan bisnis teknologi. Ciri khas: PTS di Bandung yang terafiliasi dengan ekosistem Telkom Group dan dikenal kuat di bidang IT serta telekomunikasi.</t>
  </si>
  <si>
    <t xml:space="preserve">BPP per semester (Tirto 2025/2026 dan situs Telkom cocok). Belum termasuk UP3 dan SDP2.</t>
  </si>
  <si>
    <t xml:space="preserve">JRS-023</t>
  </si>
  <si>
    <t xml:space="preserve">Program sarjana (S1). Apa yang dipelajari: Administrasi dan operasional bisnis: layanan pelanggan, pemasaran, pengelolaan kantor, dan manajemen usaha. Cocok untuk siswa yang: suka mengatur dan merapikan proses kerja, nyaman berinteraksi dengan orang, dan tertarik pada dunia usaha praktis. Skill yang dibangun: administrasi bisnis, komunikasi, pemasaran dasar, pengelolaan operasional. Profil karier: staf administrasi bisnis, marketing executive, supervisor operasional, atau wirausahawan. Ciri khas: PTS di Bandung yang terafiliasi dengan ekosistem Telkom Group dan dikenal kuat di bidang IT serta telekomunikasi.</t>
  </si>
  <si>
    <t xml:space="preserve">Dua sumber berbeda: Rp12 juta (situs Telkom, tidak bertanggal) dan Rp13,5 juta (Tirto 2025/2026). Belum termasuk UP3 dan SDP2.</t>
  </si>
  <si>
    <t xml:space="preserve">JRS-024</t>
  </si>
  <si>
    <t xml:space="preserve">Computer Science</t>
  </si>
  <si>
    <t xml:space="preserve">BINUS University</t>
  </si>
  <si>
    <t xml:space="preserve">Jakarta (Kemanggisan/Alam Sutera)</t>
  </si>
  <si>
    <t xml:space="preserve">Program sarjana (S1). Apa yang dipelajari: Dasar ilmu komputer: algoritma dan struktur data, teori komputasi, sistem operasi, basis data, kecerdasan buatan, dan pembelajaran mesin. Cocok untuk siswa yang: suka memecahkan masalah logika, penasaran cara kerja aplikasi, game, dan AI, serta nyaman dengan matematika dan ngoding dalam waktu lama. Skill yang dibangun: pemrograman, analisis algoritma, machine learning, berpikir komputasional. Profil karier: software engineer, AI/ML engineer, data scientist, peneliti, backend developer, atau pendiri startup teknologi. Ciri khas: PTS dengan kurikulum berorientasi industri dan program pengalaman kerja; biaya di kampus Jakarta tergolong tinggi.</t>
  </si>
  <si>
    <t xml:space="preserve">Biaya kuliah semester 1. Belum termasuk lab (Rp3,1 juta), peralatan (Rp9,9 juta), dan DP3 (Rp47 juta). Biaya semester berikutnya bisa berbeda.</t>
  </si>
  <si>
    <t xml:space="preserve">https://dealls.com/pengembangan-karir/biaya-kuliah-binus</t>
  </si>
  <si>
    <t xml:space="preserve">JRS-025</t>
  </si>
  <si>
    <t xml:space="preserve">Data Science</t>
  </si>
  <si>
    <t xml:space="preserve">Program sarjana (S1). Apa yang dipelajari: Statistika, pemrograman untuk data, machine learning, big data, dan visualisasi data untuk mengambil keputusan. Cocok untuk siswa yang: suka angka dan pola, penasaran dengan prediksi dan AI, serta senang menemukan insight dari data. Skill yang dibangun: analisis statistik, Python/SQL, pemodelan prediktif, storytelling dengan data. Profil karier: data scientist, data analyst, machine learning engineer, atau business intelligence analyst. Ciri khas: PTS dengan kurikulum berorientasi industri dan program pengalaman kerja; biaya di kampus Jakarta tergolong tinggi.</t>
  </si>
  <si>
    <t xml:space="preserve">Biaya kuliah semester 1. Belum termasuk lab, peralatan, dan DP3 (Rp47 juta).</t>
  </si>
  <si>
    <t xml:space="preserve">JRS-026</t>
  </si>
  <si>
    <t xml:space="preserve">Program sarjana (S1). Apa yang dipelajari: Dasar ilmu komputer: algoritma dan struktur data, teori komputasi, sistem operasi, basis data, kecerdasan buatan, dan pembelajaran mesin. Cocok untuk siswa yang: suka memecahkan masalah logika, penasaran cara kerja aplikasi, game, dan AI, serta nyaman dengan matematika dan ngoding dalam waktu lama. Skill yang dibangun: pemrograman, analisis algoritma, machine learning, berpikir komputasional. Profil karier: software engineer, AI/ML engineer, data scientist, peneliti, backend developer, atau pendiri startup teknologi. Ciri khas: PTS dengan kurikulum berorientasi industri; kampus Semarang berbiaya lebih rendah dibanding kampus Jakarta.</t>
  </si>
  <si>
    <t xml:space="preserve">Biaya kuliah semester 1. Belum termasuk lab (Rp5,6 juta), peralatan (Rp3,6 juta), dan DP3 (Rp14 juta).</t>
  </si>
  <si>
    <t xml:space="preserve">JRS-027</t>
  </si>
  <si>
    <t xml:space="preserve">Management</t>
  </si>
  <si>
    <t xml:space="preserve">Program sarjana (S1). Apa yang dipelajari: Pemasaran, keuangan, sumber daya manusia, operasi, dan strategi bisnis untuk mengelola organisasi. Cocok untuk siswa yang: suka memimpin dan berorganisasi, tertarik pada cara perusahaan tumbuh, dan senang bernegosiasi atau menganalisis pasar. Skill yang dibangun: analisis bisnis, komunikasi, kepemimpinan, pengambilan keputusan berbasis data. Profil karier: marketing manager, business development, analis keuangan, HR specialist, konsultan, atau wirausahawan. Ciri khas: PTS dengan kurikulum berorientasi industri dan program pengalaman kerja; biaya di kampus Jakarta tergolong tinggi.</t>
  </si>
  <si>
    <t xml:space="preserve">Biaya kuliah semester 1. Belum termasuk lab (Rp2,1 juta), peralatan (Rp9,9 juta), dan DP3 (Rp45 juta).</t>
  </si>
  <si>
    <t xml:space="preserve">JRS-028</t>
  </si>
  <si>
    <t xml:space="preserve">Business Creation</t>
  </si>
  <si>
    <t xml:space="preserve">Program sarjana (S1). Apa yang dipelajari: Merancang dan menjalankan bisnis baru: validasi ide, model bisnis, pemasaran, keuangan startup, dan inovasi produk. Cocok untuk siswa yang: punya jiwa pencipta, ingin membangun usaha atau startup sendiri, dan berani mengambil risiko terukur. Skill yang dibangun: perancangan model bisnis, pitching, pemasaran, pengelolaan keuangan usaha. Profil karier: founder startup, product manager, business developer, atau pengelola bisnis keluarga. Ciri khas: PTS dengan kurikulum berorientasi industri dan program pengalaman kerja; biaya di kampus Jakarta tergolong tinggi.</t>
  </si>
  <si>
    <t xml:space="preserve">Biaya kuliah semester 1. Belum termasuk lab (Rp4,25 juta), peralatan (Rp9,9 juta), dan DP3 (Rp45 juta).</t>
  </si>
  <si>
    <t xml:space="preserve">JRS-029</t>
  </si>
  <si>
    <t xml:space="preserve">Digital Business</t>
  </si>
  <si>
    <t xml:space="preserve">Program sarjana (S1). Apa yang dipelajari: E-commerce, pemasaran digital, analitik bisnis, pengembangan produk digital, dan transformasi digital perusahaan. Cocok untuk siswa yang: aktif di media sosial, suka jualan online atau konten, dan tertarik pada bisnis berbasis teknologi. Skill yang dibangun: pemasaran digital, analitik web, pengelolaan e-commerce, strategi produk. Profil karier: digital marketer, e-commerce manager, product owner, atau business analyst digital. Ciri khas: PTS dengan kurikulum berorientasi industri; kampus Semarang berbiaya lebih rendah dibanding kampus Jakarta.</t>
  </si>
  <si>
    <t xml:space="preserve">JRS-030</t>
  </si>
  <si>
    <t xml:space="preserve">Teknik Informatika</t>
  </si>
  <si>
    <t xml:space="preserve">Politeknik Negeri Bandung</t>
  </si>
  <si>
    <t xml:space="preserve">Program sarjana terapan (D4). Apa yang dipelajari: Pemrograman terapan, pengembangan web, basis data, dan jaringan komputer dengan pendekatan proyek serta praktik laboratorium. Cocok untuk siswa yang: lebih suka belajar langsung lewat praktik, ingin cepat siap kerja, dan tertarik membangun aplikasi nyata. Skill yang dibangun: pemrograman, pengembangan web, administrasi basis data dan jaringan, kerja proyek. Profil karier: web developer, programmer, junior software engineer, network administrator, atau IT support. Ciri khas: Politeknik negeri di Bandung dengan porsi praktik laboratorium dan kerja sama industri yang tinggi; lulusan disiapkan siap kerja.</t>
  </si>
  <si>
    <t xml:space="preserve">UKT kelompok 1-8 (program rekayasa). Ada IPI jalur UKT: D4 Rp17,5 juta.</t>
  </si>
  <si>
    <t xml:space="preserve">https://mamikos.com/info/biaya-ukt-polban-mhs/</t>
  </si>
  <si>
    <t xml:space="preserve">JRS-031</t>
  </si>
  <si>
    <t xml:space="preserve">Program diploma (D3). Apa yang dipelajari: Pemrograman terapan, pengembangan web, basis data, dan jaringan komputer dengan pendekatan proyek serta praktik laboratorium. Cocok untuk siswa yang: lebih suka belajar langsung lewat praktik, ingin cepat siap kerja, dan tertarik membangun aplikasi nyata. Skill yang dibangun: pemrograman, pengembangan web, administrasi basis data dan jaringan, kerja proyek. Profil karier: web developer, programmer, junior software engineer, network administrator, atau IT support. Ciri khas: Politeknik negeri di Bandung dengan porsi praktik laboratorium dan kerja sama industri yang tinggi; lulusan disiapkan siap kerja.</t>
  </si>
  <si>
    <t xml:space="preserve">UKT kelompok 1-8 (program rekayasa). Ada IPI: D3 Rp15 juta.</t>
  </si>
  <si>
    <t xml:space="preserve">JRS-032</t>
  </si>
  <si>
    <t xml:space="preserve">Akuntansi</t>
  </si>
  <si>
    <t xml:space="preserve">Program sarjana terapan (D4). Apa yang dipelajari: Akuntansi keuangan, pelaporan, auditing, perpajakan, dan sistem informasi akuntansi. Cocok untuk siswa yang: teliti, rapi dengan angka, tertarik pada laporan keuangan dan pajak, serta menyukai pekerjaan yang terstruktur. Skill yang dibangun: penyusunan laporan keuangan, analisis, perpajakan, penggunaan software akuntansi. Profil karier: akuntan, auditor, konsultan pajak, analis keuangan, atau staf keuangan perusahaan. Ciri khas: Politeknik negeri di Bandung dengan porsi praktik laboratorium dan kerja sama industri yang tinggi; lulusan disiapkan siap kerja.</t>
  </si>
  <si>
    <t xml:space="preserve">UKT kelompok 1-8 (non-rekayasa). Batas atas Rp8,5 juta dari ringkasan sumber; rincian kelompok 5-8 tidak terbaca. IPI D4 Rp17,5 juta.</t>
  </si>
  <si>
    <t xml:space="preserve">JRS-033</t>
  </si>
  <si>
    <t xml:space="preserve">Program diploma (D3). Apa yang dipelajari: Administrasi dan operasional bisnis: layanan pelanggan, pemasaran, pengelolaan kantor, dan manajemen usaha. Cocok untuk siswa yang: suka mengatur dan merapikan proses kerja, nyaman berinteraksi dengan orang, dan tertarik pada dunia usaha praktis. Skill yang dibangun: administrasi bisnis, komunikasi, pemasaran dasar, pengelolaan operasional. Profil karier: staf administrasi bisnis, marketing executive, supervisor operasional, atau wirausahawan. Ciri khas: Politeknik negeri di Bandung dengan porsi praktik laboratorium dan kerja sama industri yang tinggi; lulusan disiapkan siap kerja.</t>
  </si>
  <si>
    <t xml:space="preserve">UKT kelompok 1-8 (non-rekayasa, program Administrasi Niaga). Batas atas dari ringkasan sumber. IPI D3 Rp15 juta.</t>
  </si>
  <si>
    <t xml:space="preserve">Tentang dataset ini</t>
  </si>
  <si>
    <t xml:space="preserve">MVP: 33 baris jurusan dari 7 kampus (UI, ITB, UGM, Undip, Telkom University, BINUS, Politeknik Negeri Bandung). Bidang: Teknologi dan Bisnis. Jenjang: S1, D3, D4.</t>
  </si>
  <si>
    <t xml:space="preserve">Data dikumpulkan pada 2026-10-15 lewat web search dan fetch (bukan scraper otomatis ke situs resmi kampus).</t>
  </si>
  <si>
    <t xml:space="preserve">Kolom</t>
  </si>
  <si>
    <t xml:space="preserve">biaya_min/max_per_semester: rupiah per semester. PTN = UKT (kelompok terendah-tertinggi). Telkom = BPP. BINUS = biaya kuliah semester 1.</t>
  </si>
  <si>
    <t xml:space="preserve">rentang_biaya: rumus dari dua kolom biaya di sebelahnya (otomatis ikut berubah jika angka diedit).</t>
  </si>
  <si>
    <t xml:space="preserve">minat: teks untuk embedding (vector search). TIDAK di-scrape: ditulis ulang oleh Claude dari pengetahuan umum tentang tipe program, lalu diberi satu kalimat ciri khas kampus. Tinjau sebelum dipakai di produksi.</t>
  </si>
  <si>
    <t xml:space="preserve">catatan_biaya: asumsi, komponen biaya yang tidak termasuk (IPI, UP3, SDP2, DP3, lab), dan tingkat keyakinan data.</t>
  </si>
  <si>
    <t xml:space="preserve">Keterbatasan yang perlu diketahui</t>
  </si>
  <si>
    <t xml:space="preserve">1. Sebagian besar angka berasal dari media dan agregator (Bisnis.com, detik, Tirto, Dealls, Mamikos) yang mengutip keputusan resmi kampus, bukan dari situs kampus langsung. Verifikasi ke situs resmi sebelum dipublikasikan.</t>
  </si>
  <si>
    <t xml:space="preserve">2. UI: dipakai angka jalur Mandiri 2026. Angka SNBP/SNBT dari sumber sekunder saling bertentangan (Rp12,5 juta vs Rp17,5 juta) sehingga tidak dipakai.</t>
  </si>
  <si>
    <t xml:space="preserve">3. Telkom: Informatika dan MBTI cocok di dua sumber. RPL, D3 Sistem Informasi, dan Administrasi Bisnis berasal dari rilis situs Telkom yang tidak bertanggal; baris ini perlu dicek ulang.</t>
  </si>
  <si>
    <t xml:space="preserve">4. Polban non-rekayasa: batas atas Rp8,5 juta berasal dari ringkasan sumber; rincian kelompok 5-8 tidak terbaca.</t>
  </si>
  <si>
    <t xml:space="preserve">5. Kolom peminat, daya tampung, akreditasi, dan persentase terserap kerja BELUM ada (di luar permintaan MVP ini). Tanpa itu, skor reranking untuk karier, kualitas, dan peluang masuk belum bisa dihitung.</t>
  </si>
  <si>
    <t xml:space="preserve">6. Biaya hidup, uang pangkal, dan biaya semester lanjutan tidak termasuk dalam rentang biaya kecuali tertulis di catatan_biaya.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</si>
</sst>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8" min="7" style="0" width="16"/>
    <col collapsed="false" customWidth="true" hidden="false" outlineLevel="0" max="9" min="9" style="0" width="28"/>
    <col collapsed="false" customWidth="true" hidden="false" outlineLevel="0" max="10" min="10" style="0" width="90"/>
    <col collapsed="false" customWidth="true" hidden="false" outlineLevel="0" max="11" min="11" style="0" width="55"/>
    <col collapsed="false" customWidth="true" hidden="false" outlineLevel="0" max="12" min="12" style="0" width="45"/>
    <col collapsed="false" customWidth="true" hidden="false" outlineLevel="0" max="13" min="13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79.85" hidden="false" customHeight="false" outlineLevel="0" collapsed="false">
      <c r="A2" s="2" t="s">
        <v>13</v>
      </c>
      <c r="B2" s="2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4" t="n">
        <v>500000</v>
      </c>
      <c r="H2" s="4" t="n">
        <v>14600000</v>
      </c>
      <c r="I2" s="3" t="str">
        <f aca="false">IF(G2=H2,"Rp "&amp;TEXT(G2,"#,##0"),"Rp "&amp;TEXT(G2,"#,##0")&amp;" - Rp "&amp;TEXT(H2,"#,##0"))</f>
        <v>Rp 500,000 - Rp 14,600,000</v>
      </c>
      <c r="J2" s="3" t="s">
        <v>19</v>
      </c>
      <c r="K2" s="3" t="s">
        <v>20</v>
      </c>
      <c r="L2" s="3" t="s">
        <v>21</v>
      </c>
      <c r="M2" s="5" t="n">
        <v>46310</v>
      </c>
    </row>
    <row r="3" customFormat="false" ht="79.85" hidden="false" customHeight="false" outlineLevel="0" collapsed="false">
      <c r="A3" s="2" t="s">
        <v>22</v>
      </c>
      <c r="B3" s="2" t="s">
        <v>14</v>
      </c>
      <c r="C3" s="2" t="s">
        <v>15</v>
      </c>
      <c r="D3" s="3" t="s">
        <v>23</v>
      </c>
      <c r="E3" s="3" t="s">
        <v>17</v>
      </c>
      <c r="F3" s="3" t="s">
        <v>18</v>
      </c>
      <c r="G3" s="4" t="n">
        <v>500000</v>
      </c>
      <c r="H3" s="4" t="n">
        <v>14000000</v>
      </c>
      <c r="I3" s="3" t="str">
        <f aca="false">IF(G3=H3,"Rp "&amp;TEXT(G3,"#,##0"),"Rp "&amp;TEXT(G3,"#,##0")&amp;" - Rp "&amp;TEXT(H3,"#,##0"))</f>
        <v>Rp 500,000 - Rp 14,000,000</v>
      </c>
      <c r="J3" s="3" t="s">
        <v>24</v>
      </c>
      <c r="K3" s="3" t="s">
        <v>25</v>
      </c>
      <c r="L3" s="3" t="s">
        <v>21</v>
      </c>
      <c r="M3" s="5" t="n">
        <v>46310</v>
      </c>
    </row>
    <row r="4" customFormat="false" ht="68.65" hidden="false" customHeight="false" outlineLevel="0" collapsed="false">
      <c r="A4" s="2" t="s">
        <v>26</v>
      </c>
      <c r="B4" s="2" t="s">
        <v>27</v>
      </c>
      <c r="C4" s="2" t="s">
        <v>15</v>
      </c>
      <c r="D4" s="3" t="s">
        <v>28</v>
      </c>
      <c r="E4" s="3" t="s">
        <v>17</v>
      </c>
      <c r="F4" s="3" t="s">
        <v>18</v>
      </c>
      <c r="G4" s="4" t="n">
        <v>500000</v>
      </c>
      <c r="H4" s="4" t="n">
        <v>14600000</v>
      </c>
      <c r="I4" s="3" t="str">
        <f aca="false">IF(G4=H4,"Rp "&amp;TEXT(G4,"#,##0"),"Rp "&amp;TEXT(G4,"#,##0")&amp;" - Rp "&amp;TEXT(H4,"#,##0"))</f>
        <v>Rp 500,000 - Rp 14,600,000</v>
      </c>
      <c r="J4" s="3" t="s">
        <v>29</v>
      </c>
      <c r="K4" s="3" t="s">
        <v>30</v>
      </c>
      <c r="L4" s="3" t="s">
        <v>21</v>
      </c>
      <c r="M4" s="5" t="n">
        <v>46310</v>
      </c>
    </row>
    <row r="5" customFormat="false" ht="79.85" hidden="false" customHeight="false" outlineLevel="0" collapsed="false">
      <c r="A5" s="2" t="s">
        <v>31</v>
      </c>
      <c r="B5" s="2" t="s">
        <v>14</v>
      </c>
      <c r="C5" s="2" t="s">
        <v>15</v>
      </c>
      <c r="D5" s="3" t="s">
        <v>32</v>
      </c>
      <c r="E5" s="3" t="s">
        <v>33</v>
      </c>
      <c r="F5" s="3" t="s">
        <v>34</v>
      </c>
      <c r="G5" s="4" t="n">
        <v>500000</v>
      </c>
      <c r="H5" s="4" t="n">
        <v>12500000</v>
      </c>
      <c r="I5" s="3" t="str">
        <f aca="false">IF(G5=H5,"Rp "&amp;TEXT(G5,"#,##0"),"Rp "&amp;TEXT(G5,"#,##0")&amp;" - Rp "&amp;TEXT(H5,"#,##0"))</f>
        <v>Rp 500,000 - Rp 12,500,000</v>
      </c>
      <c r="J5" s="3" t="s">
        <v>35</v>
      </c>
      <c r="K5" s="3" t="s">
        <v>36</v>
      </c>
      <c r="L5" s="3" t="s">
        <v>37</v>
      </c>
      <c r="M5" s="5" t="n">
        <v>46310</v>
      </c>
    </row>
    <row r="6" customFormat="false" ht="79.85" hidden="false" customHeight="false" outlineLevel="0" collapsed="false">
      <c r="A6" s="2" t="s">
        <v>38</v>
      </c>
      <c r="B6" s="2" t="s">
        <v>14</v>
      </c>
      <c r="C6" s="2" t="s">
        <v>15</v>
      </c>
      <c r="D6" s="3" t="s">
        <v>39</v>
      </c>
      <c r="E6" s="3" t="s">
        <v>33</v>
      </c>
      <c r="F6" s="3" t="s">
        <v>34</v>
      </c>
      <c r="G6" s="4" t="n">
        <v>500000</v>
      </c>
      <c r="H6" s="4" t="n">
        <v>12500000</v>
      </c>
      <c r="I6" s="3" t="str">
        <f aca="false">IF(G6=H6,"Rp "&amp;TEXT(G6,"#,##0"),"Rp "&amp;TEXT(G6,"#,##0")&amp;" - Rp "&amp;TEXT(H6,"#,##0"))</f>
        <v>Rp 500,000 - Rp 12,500,000</v>
      </c>
      <c r="J6" s="3" t="s">
        <v>40</v>
      </c>
      <c r="K6" s="3" t="s">
        <v>41</v>
      </c>
      <c r="L6" s="3" t="s">
        <v>37</v>
      </c>
      <c r="M6" s="5" t="n">
        <v>46310</v>
      </c>
    </row>
    <row r="7" customFormat="false" ht="68.65" hidden="false" customHeight="false" outlineLevel="0" collapsed="false">
      <c r="A7" s="2" t="s">
        <v>42</v>
      </c>
      <c r="B7" s="2" t="s">
        <v>27</v>
      </c>
      <c r="C7" s="2" t="s">
        <v>15</v>
      </c>
      <c r="D7" s="3" t="s">
        <v>28</v>
      </c>
      <c r="E7" s="3" t="s">
        <v>33</v>
      </c>
      <c r="F7" s="3" t="s">
        <v>34</v>
      </c>
      <c r="G7" s="4" t="n">
        <v>500000</v>
      </c>
      <c r="H7" s="4" t="n">
        <v>14500000</v>
      </c>
      <c r="I7" s="3" t="str">
        <f aca="false">IF(G7=H7,"Rp "&amp;TEXT(G7,"#,##0"),"Rp "&amp;TEXT(G7,"#,##0")&amp;" - Rp "&amp;TEXT(H7,"#,##0"))</f>
        <v>Rp 500,000 - Rp 14,500,000</v>
      </c>
      <c r="J7" s="3" t="s">
        <v>43</v>
      </c>
      <c r="K7" s="3" t="s">
        <v>44</v>
      </c>
      <c r="L7" s="3" t="s">
        <v>37</v>
      </c>
      <c r="M7" s="5" t="n">
        <v>46310</v>
      </c>
    </row>
    <row r="8" customFormat="false" ht="68.65" hidden="false" customHeight="false" outlineLevel="0" collapsed="false">
      <c r="A8" s="2" t="s">
        <v>45</v>
      </c>
      <c r="B8" s="2" t="s">
        <v>27</v>
      </c>
      <c r="C8" s="2" t="s">
        <v>15</v>
      </c>
      <c r="D8" s="3" t="s">
        <v>46</v>
      </c>
      <c r="E8" s="3" t="s">
        <v>33</v>
      </c>
      <c r="F8" s="3" t="s">
        <v>34</v>
      </c>
      <c r="G8" s="4" t="n">
        <v>500000</v>
      </c>
      <c r="H8" s="4" t="n">
        <v>14500000</v>
      </c>
      <c r="I8" s="3" t="str">
        <f aca="false">IF(G8=H8,"Rp "&amp;TEXT(G8,"#,##0"),"Rp "&amp;TEXT(G8,"#,##0")&amp;" - Rp "&amp;TEXT(H8,"#,##0"))</f>
        <v>Rp 500,000 - Rp 14,500,000</v>
      </c>
      <c r="J8" s="3" t="s">
        <v>47</v>
      </c>
      <c r="K8" s="3" t="s">
        <v>48</v>
      </c>
      <c r="L8" s="3" t="s">
        <v>37</v>
      </c>
      <c r="M8" s="5" t="n">
        <v>46310</v>
      </c>
    </row>
    <row r="9" customFormat="false" ht="79.85" hidden="false" customHeight="false" outlineLevel="0" collapsed="false">
      <c r="A9" s="2" t="s">
        <v>49</v>
      </c>
      <c r="B9" s="2" t="s">
        <v>14</v>
      </c>
      <c r="C9" s="2" t="s">
        <v>15</v>
      </c>
      <c r="D9" s="3" t="s">
        <v>16</v>
      </c>
      <c r="E9" s="3" t="s">
        <v>50</v>
      </c>
      <c r="F9" s="3" t="s">
        <v>51</v>
      </c>
      <c r="G9" s="4" t="n">
        <v>0</v>
      </c>
      <c r="H9" s="4" t="n">
        <v>10000000</v>
      </c>
      <c r="I9" s="3" t="str">
        <f aca="false">IF(G9=H9,"Rp "&amp;TEXT(G9,"#,##0"),"Rp "&amp;TEXT(G9,"#,##0")&amp;" - Rp "&amp;TEXT(H9,"#,##0"))</f>
        <v>Rp 0 - Rp 10,000,000</v>
      </c>
      <c r="J9" s="3" t="s">
        <v>52</v>
      </c>
      <c r="K9" s="3" t="s">
        <v>53</v>
      </c>
      <c r="L9" s="3" t="s">
        <v>37</v>
      </c>
      <c r="M9" s="5" t="n">
        <v>46310</v>
      </c>
    </row>
    <row r="10" customFormat="false" ht="68.65" hidden="false" customHeight="false" outlineLevel="0" collapsed="false">
      <c r="A10" s="2" t="s">
        <v>54</v>
      </c>
      <c r="B10" s="2" t="s">
        <v>14</v>
      </c>
      <c r="C10" s="2" t="s">
        <v>15</v>
      </c>
      <c r="D10" s="3" t="s">
        <v>55</v>
      </c>
      <c r="E10" s="3" t="s">
        <v>50</v>
      </c>
      <c r="F10" s="3" t="s">
        <v>51</v>
      </c>
      <c r="G10" s="4" t="n">
        <v>0</v>
      </c>
      <c r="H10" s="4" t="n">
        <v>12300000</v>
      </c>
      <c r="I10" s="3" t="str">
        <f aca="false">IF(G10=H10,"Rp "&amp;TEXT(G10,"#,##0"),"Rp "&amp;TEXT(G10,"#,##0")&amp;" - Rp "&amp;TEXT(H10,"#,##0"))</f>
        <v>Rp 0 - Rp 12,300,000</v>
      </c>
      <c r="J10" s="3" t="s">
        <v>56</v>
      </c>
      <c r="K10" s="3" t="s">
        <v>57</v>
      </c>
      <c r="L10" s="3" t="s">
        <v>37</v>
      </c>
      <c r="M10" s="5" t="n">
        <v>46310</v>
      </c>
    </row>
    <row r="11" customFormat="false" ht="79.85" hidden="false" customHeight="false" outlineLevel="0" collapsed="false">
      <c r="A11" s="2" t="s">
        <v>58</v>
      </c>
      <c r="B11" s="2" t="s">
        <v>14</v>
      </c>
      <c r="C11" s="2" t="s">
        <v>59</v>
      </c>
      <c r="D11" s="3" t="s">
        <v>60</v>
      </c>
      <c r="E11" s="3" t="s">
        <v>50</v>
      </c>
      <c r="F11" s="3" t="s">
        <v>51</v>
      </c>
      <c r="G11" s="4" t="n">
        <v>0</v>
      </c>
      <c r="H11" s="4" t="n">
        <v>13300000</v>
      </c>
      <c r="I11" s="3" t="str">
        <f aca="false">IF(G11=H11,"Rp "&amp;TEXT(G11,"#,##0"),"Rp "&amp;TEXT(G11,"#,##0")&amp;" - Rp "&amp;TEXT(H11,"#,##0"))</f>
        <v>Rp 0 - Rp 13,300,000</v>
      </c>
      <c r="J11" s="3" t="s">
        <v>61</v>
      </c>
      <c r="K11" s="3" t="s">
        <v>57</v>
      </c>
      <c r="L11" s="3" t="s">
        <v>37</v>
      </c>
      <c r="M11" s="5" t="n">
        <v>46310</v>
      </c>
    </row>
    <row r="12" customFormat="false" ht="68.65" hidden="false" customHeight="false" outlineLevel="0" collapsed="false">
      <c r="A12" s="2" t="s">
        <v>62</v>
      </c>
      <c r="B12" s="2" t="s">
        <v>27</v>
      </c>
      <c r="C12" s="2" t="s">
        <v>15</v>
      </c>
      <c r="D12" s="3" t="s">
        <v>28</v>
      </c>
      <c r="E12" s="3" t="s">
        <v>50</v>
      </c>
      <c r="F12" s="3" t="s">
        <v>51</v>
      </c>
      <c r="G12" s="4" t="n">
        <v>0</v>
      </c>
      <c r="H12" s="4" t="n">
        <v>9200000</v>
      </c>
      <c r="I12" s="3" t="str">
        <f aca="false">IF(G12=H12,"Rp "&amp;TEXT(G12,"#,##0"),"Rp "&amp;TEXT(G12,"#,##0")&amp;" - Rp "&amp;TEXT(H12,"#,##0"))</f>
        <v>Rp 0 - Rp 9,200,000</v>
      </c>
      <c r="J12" s="3" t="s">
        <v>63</v>
      </c>
      <c r="K12" s="3" t="s">
        <v>57</v>
      </c>
      <c r="L12" s="3" t="s">
        <v>37</v>
      </c>
      <c r="M12" s="5" t="n">
        <v>46310</v>
      </c>
    </row>
    <row r="13" customFormat="false" ht="68.65" hidden="false" customHeight="false" outlineLevel="0" collapsed="false">
      <c r="A13" s="2" t="s">
        <v>64</v>
      </c>
      <c r="B13" s="2" t="s">
        <v>27</v>
      </c>
      <c r="C13" s="2" t="s">
        <v>59</v>
      </c>
      <c r="D13" s="3" t="s">
        <v>65</v>
      </c>
      <c r="E13" s="3" t="s">
        <v>50</v>
      </c>
      <c r="F13" s="3" t="s">
        <v>51</v>
      </c>
      <c r="G13" s="4" t="n">
        <v>0</v>
      </c>
      <c r="H13" s="4" t="n">
        <v>11400000</v>
      </c>
      <c r="I13" s="3" t="str">
        <f aca="false">IF(G13=H13,"Rp "&amp;TEXT(G13,"#,##0"),"Rp "&amp;TEXT(G13,"#,##0")&amp;" - Rp "&amp;TEXT(H13,"#,##0"))</f>
        <v>Rp 0 - Rp 11,400,000</v>
      </c>
      <c r="J13" s="3" t="s">
        <v>66</v>
      </c>
      <c r="K13" s="3" t="s">
        <v>57</v>
      </c>
      <c r="L13" s="3" t="s">
        <v>37</v>
      </c>
      <c r="M13" s="5" t="n">
        <v>46310</v>
      </c>
    </row>
    <row r="14" customFormat="false" ht="79.85" hidden="false" customHeight="false" outlineLevel="0" collapsed="false">
      <c r="A14" s="2" t="s">
        <v>67</v>
      </c>
      <c r="B14" s="2" t="s">
        <v>14</v>
      </c>
      <c r="C14" s="2" t="s">
        <v>15</v>
      </c>
      <c r="D14" s="3" t="s">
        <v>32</v>
      </c>
      <c r="E14" s="3" t="s">
        <v>68</v>
      </c>
      <c r="F14" s="3" t="s">
        <v>69</v>
      </c>
      <c r="G14" s="4" t="n">
        <v>500000</v>
      </c>
      <c r="H14" s="4" t="n">
        <v>8500000</v>
      </c>
      <c r="I14" s="3" t="str">
        <f aca="false">IF(G14=H14,"Rp "&amp;TEXT(G14,"#,##0"),"Rp "&amp;TEXT(G14,"#,##0")&amp;" - Rp "&amp;TEXT(H14,"#,##0"))</f>
        <v>Rp 500,000 - Rp 8,500,000</v>
      </c>
      <c r="J14" s="3" t="s">
        <v>70</v>
      </c>
      <c r="K14" s="3" t="s">
        <v>71</v>
      </c>
      <c r="L14" s="3" t="s">
        <v>72</v>
      </c>
      <c r="M14" s="5" t="n">
        <v>46310</v>
      </c>
    </row>
    <row r="15" customFormat="false" ht="68.65" hidden="false" customHeight="false" outlineLevel="0" collapsed="false">
      <c r="A15" s="2" t="s">
        <v>73</v>
      </c>
      <c r="B15" s="2" t="s">
        <v>14</v>
      </c>
      <c r="C15" s="2" t="s">
        <v>15</v>
      </c>
      <c r="D15" s="3" t="s">
        <v>74</v>
      </c>
      <c r="E15" s="3" t="s">
        <v>68</v>
      </c>
      <c r="F15" s="3" t="s">
        <v>69</v>
      </c>
      <c r="G15" s="4" t="n">
        <v>500000</v>
      </c>
      <c r="H15" s="4" t="n">
        <v>9500000</v>
      </c>
      <c r="I15" s="3" t="str">
        <f aca="false">IF(G15=H15,"Rp "&amp;TEXT(G15,"#,##0"),"Rp "&amp;TEXT(G15,"#,##0")&amp;" - Rp "&amp;TEXT(H15,"#,##0"))</f>
        <v>Rp 500,000 - Rp 9,500,000</v>
      </c>
      <c r="J15" s="3" t="s">
        <v>75</v>
      </c>
      <c r="K15" s="3" t="s">
        <v>71</v>
      </c>
      <c r="L15" s="3" t="s">
        <v>72</v>
      </c>
      <c r="M15" s="5" t="n">
        <v>46310</v>
      </c>
    </row>
    <row r="16" customFormat="false" ht="79.85" hidden="false" customHeight="false" outlineLevel="0" collapsed="false">
      <c r="A16" s="2" t="s">
        <v>76</v>
      </c>
      <c r="B16" s="2" t="s">
        <v>14</v>
      </c>
      <c r="C16" s="2" t="s">
        <v>59</v>
      </c>
      <c r="D16" s="3" t="s">
        <v>77</v>
      </c>
      <c r="E16" s="3" t="s">
        <v>68</v>
      </c>
      <c r="F16" s="3" t="s">
        <v>69</v>
      </c>
      <c r="G16" s="4" t="n">
        <v>500000</v>
      </c>
      <c r="H16" s="4" t="n">
        <v>8500000</v>
      </c>
      <c r="I16" s="3" t="str">
        <f aca="false">IF(G16=H16,"Rp "&amp;TEXT(G16,"#,##0"),"Rp "&amp;TEXT(G16,"#,##0")&amp;" - Rp "&amp;TEXT(H16,"#,##0"))</f>
        <v>Rp 500,000 - Rp 8,500,000</v>
      </c>
      <c r="J16" s="3" t="s">
        <v>78</v>
      </c>
      <c r="K16" s="3" t="s">
        <v>79</v>
      </c>
      <c r="L16" s="3" t="s">
        <v>72</v>
      </c>
      <c r="M16" s="5" t="n">
        <v>46310</v>
      </c>
    </row>
    <row r="17" customFormat="false" ht="68.65" hidden="false" customHeight="false" outlineLevel="0" collapsed="false">
      <c r="A17" s="2" t="s">
        <v>80</v>
      </c>
      <c r="B17" s="2" t="s">
        <v>27</v>
      </c>
      <c r="C17" s="2" t="s">
        <v>15</v>
      </c>
      <c r="D17" s="3" t="s">
        <v>28</v>
      </c>
      <c r="E17" s="3" t="s">
        <v>68</v>
      </c>
      <c r="F17" s="3" t="s">
        <v>69</v>
      </c>
      <c r="G17" s="4" t="n">
        <v>500000</v>
      </c>
      <c r="H17" s="4" t="n">
        <v>7500000</v>
      </c>
      <c r="I17" s="3" t="str">
        <f aca="false">IF(G17=H17,"Rp "&amp;TEXT(G17,"#,##0"),"Rp "&amp;TEXT(G17,"#,##0")&amp;" - Rp "&amp;TEXT(H17,"#,##0"))</f>
        <v>Rp 500,000 - Rp 7,500,000</v>
      </c>
      <c r="J17" s="3" t="s">
        <v>81</v>
      </c>
      <c r="K17" s="3" t="s">
        <v>71</v>
      </c>
      <c r="L17" s="3" t="s">
        <v>72</v>
      </c>
      <c r="M17" s="5" t="n">
        <v>46310</v>
      </c>
    </row>
    <row r="18" customFormat="false" ht="68.65" hidden="false" customHeight="false" outlineLevel="0" collapsed="false">
      <c r="A18" s="2" t="s">
        <v>82</v>
      </c>
      <c r="B18" s="2" t="s">
        <v>27</v>
      </c>
      <c r="C18" s="2" t="s">
        <v>15</v>
      </c>
      <c r="D18" s="3" t="s">
        <v>83</v>
      </c>
      <c r="E18" s="3" t="s">
        <v>68</v>
      </c>
      <c r="F18" s="3" t="s">
        <v>69</v>
      </c>
      <c r="G18" s="4" t="n">
        <v>500000</v>
      </c>
      <c r="H18" s="4" t="n">
        <v>7000000</v>
      </c>
      <c r="I18" s="3" t="str">
        <f aca="false">IF(G18=H18,"Rp "&amp;TEXT(G18,"#,##0"),"Rp "&amp;TEXT(G18,"#,##0")&amp;" - Rp "&amp;TEXT(H18,"#,##0"))</f>
        <v>Rp 500,000 - Rp 7,000,000</v>
      </c>
      <c r="J18" s="3" t="s">
        <v>84</v>
      </c>
      <c r="K18" s="3" t="s">
        <v>71</v>
      </c>
      <c r="L18" s="3" t="s">
        <v>72</v>
      </c>
      <c r="M18" s="5" t="n">
        <v>46310</v>
      </c>
    </row>
    <row r="19" customFormat="false" ht="68.65" hidden="false" customHeight="false" outlineLevel="0" collapsed="false">
      <c r="A19" s="2" t="s">
        <v>85</v>
      </c>
      <c r="B19" s="2" t="s">
        <v>27</v>
      </c>
      <c r="C19" s="2" t="s">
        <v>59</v>
      </c>
      <c r="D19" s="3" t="s">
        <v>86</v>
      </c>
      <c r="E19" s="3" t="s">
        <v>68</v>
      </c>
      <c r="F19" s="3" t="s">
        <v>69</v>
      </c>
      <c r="G19" s="4" t="n">
        <v>500000</v>
      </c>
      <c r="H19" s="4" t="n">
        <v>7500000</v>
      </c>
      <c r="I19" s="3" t="str">
        <f aca="false">IF(G19=H19,"Rp "&amp;TEXT(G19,"#,##0"),"Rp "&amp;TEXT(G19,"#,##0")&amp;" - Rp "&amp;TEXT(H19,"#,##0"))</f>
        <v>Rp 500,000 - Rp 7,500,000</v>
      </c>
      <c r="J19" s="3" t="s">
        <v>87</v>
      </c>
      <c r="K19" s="3" t="s">
        <v>88</v>
      </c>
      <c r="L19" s="3" t="s">
        <v>72</v>
      </c>
      <c r="M19" s="5" t="n">
        <v>46310</v>
      </c>
    </row>
    <row r="20" customFormat="false" ht="79.85" hidden="false" customHeight="false" outlineLevel="0" collapsed="false">
      <c r="A20" s="2" t="s">
        <v>89</v>
      </c>
      <c r="B20" s="2" t="s">
        <v>14</v>
      </c>
      <c r="C20" s="2" t="s">
        <v>15</v>
      </c>
      <c r="D20" s="3" t="s">
        <v>32</v>
      </c>
      <c r="E20" s="3" t="s">
        <v>90</v>
      </c>
      <c r="F20" s="3" t="s">
        <v>34</v>
      </c>
      <c r="G20" s="4" t="n">
        <v>13500000</v>
      </c>
      <c r="H20" s="4" t="n">
        <v>13500000</v>
      </c>
      <c r="I20" s="3" t="str">
        <f aca="false">IF(G20=H20,"Rp "&amp;TEXT(G20,"#,##0"),"Rp "&amp;TEXT(G20,"#,##0")&amp;" - Rp "&amp;TEXT(H20,"#,##0"))</f>
        <v>Rp 13,500,000</v>
      </c>
      <c r="J20" s="3" t="s">
        <v>91</v>
      </c>
      <c r="K20" s="3" t="s">
        <v>92</v>
      </c>
      <c r="L20" s="3" t="s">
        <v>93</v>
      </c>
      <c r="M20" s="5" t="n">
        <v>46310</v>
      </c>
    </row>
    <row r="21" customFormat="false" ht="79.85" hidden="false" customHeight="false" outlineLevel="0" collapsed="false">
      <c r="A21" s="2" t="s">
        <v>94</v>
      </c>
      <c r="B21" s="2" t="s">
        <v>14</v>
      </c>
      <c r="C21" s="2" t="s">
        <v>15</v>
      </c>
      <c r="D21" s="3" t="s">
        <v>95</v>
      </c>
      <c r="E21" s="3" t="s">
        <v>90</v>
      </c>
      <c r="F21" s="3" t="s">
        <v>34</v>
      </c>
      <c r="G21" s="4" t="n">
        <v>9500000</v>
      </c>
      <c r="H21" s="4" t="n">
        <v>9500000</v>
      </c>
      <c r="I21" s="3" t="str">
        <f aca="false">IF(G21=H21,"Rp "&amp;TEXT(G21,"#,##0"),"Rp "&amp;TEXT(G21,"#,##0")&amp;" - Rp "&amp;TEXT(H21,"#,##0"))</f>
        <v>Rp 9,500,000</v>
      </c>
      <c r="J21" s="3" t="s">
        <v>96</v>
      </c>
      <c r="K21" s="3" t="s">
        <v>97</v>
      </c>
      <c r="L21" s="3" t="s">
        <v>93</v>
      </c>
      <c r="M21" s="5" t="n">
        <v>46310</v>
      </c>
    </row>
    <row r="22" customFormat="false" ht="68.65" hidden="false" customHeight="false" outlineLevel="0" collapsed="false">
      <c r="A22" s="2" t="s">
        <v>98</v>
      </c>
      <c r="B22" s="2" t="s">
        <v>14</v>
      </c>
      <c r="C22" s="2" t="s">
        <v>99</v>
      </c>
      <c r="D22" s="3" t="s">
        <v>23</v>
      </c>
      <c r="E22" s="3" t="s">
        <v>90</v>
      </c>
      <c r="F22" s="3" t="s">
        <v>34</v>
      </c>
      <c r="G22" s="4" t="n">
        <v>7500000</v>
      </c>
      <c r="H22" s="4" t="n">
        <v>7500000</v>
      </c>
      <c r="I22" s="3" t="str">
        <f aca="false">IF(G22=H22,"Rp "&amp;TEXT(G22,"#,##0"),"Rp "&amp;TEXT(G22,"#,##0")&amp;" - Rp "&amp;TEXT(H22,"#,##0"))</f>
        <v>Rp 7,500,000</v>
      </c>
      <c r="J22" s="3" t="s">
        <v>100</v>
      </c>
      <c r="K22" s="3" t="s">
        <v>101</v>
      </c>
      <c r="L22" s="3" t="s">
        <v>93</v>
      </c>
      <c r="M22" s="5" t="n">
        <v>46310</v>
      </c>
    </row>
    <row r="23" customFormat="false" ht="68.65" hidden="false" customHeight="false" outlineLevel="0" collapsed="false">
      <c r="A23" s="2" t="s">
        <v>102</v>
      </c>
      <c r="B23" s="2" t="s">
        <v>27</v>
      </c>
      <c r="C23" s="2" t="s">
        <v>15</v>
      </c>
      <c r="D23" s="3" t="s">
        <v>103</v>
      </c>
      <c r="E23" s="3" t="s">
        <v>90</v>
      </c>
      <c r="F23" s="3" t="s">
        <v>34</v>
      </c>
      <c r="G23" s="4" t="n">
        <v>13500000</v>
      </c>
      <c r="H23" s="4" t="n">
        <v>13500000</v>
      </c>
      <c r="I23" s="3" t="str">
        <f aca="false">IF(G23=H23,"Rp "&amp;TEXT(G23,"#,##0"),"Rp "&amp;TEXT(G23,"#,##0")&amp;" - Rp "&amp;TEXT(H23,"#,##0"))</f>
        <v>Rp 13,500,000</v>
      </c>
      <c r="J23" s="3" t="s">
        <v>104</v>
      </c>
      <c r="K23" s="3" t="s">
        <v>105</v>
      </c>
      <c r="L23" s="3" t="s">
        <v>93</v>
      </c>
      <c r="M23" s="5" t="n">
        <v>46310</v>
      </c>
    </row>
    <row r="24" customFormat="false" ht="68.65" hidden="false" customHeight="false" outlineLevel="0" collapsed="false">
      <c r="A24" s="2" t="s">
        <v>106</v>
      </c>
      <c r="B24" s="2" t="s">
        <v>27</v>
      </c>
      <c r="C24" s="2" t="s">
        <v>15</v>
      </c>
      <c r="D24" s="3" t="s">
        <v>83</v>
      </c>
      <c r="E24" s="3" t="s">
        <v>90</v>
      </c>
      <c r="F24" s="3" t="s">
        <v>34</v>
      </c>
      <c r="G24" s="4" t="n">
        <v>12000000</v>
      </c>
      <c r="H24" s="4" t="n">
        <v>13500000</v>
      </c>
      <c r="I24" s="3" t="str">
        <f aca="false">IF(G24=H24,"Rp "&amp;TEXT(G24,"#,##0"),"Rp "&amp;TEXT(G24,"#,##0")&amp;" - Rp "&amp;TEXT(H24,"#,##0"))</f>
        <v>Rp 12,000,000 - Rp 13,500,000</v>
      </c>
      <c r="J24" s="3" t="s">
        <v>107</v>
      </c>
      <c r="K24" s="3" t="s">
        <v>108</v>
      </c>
      <c r="L24" s="3" t="s">
        <v>93</v>
      </c>
      <c r="M24" s="5" t="n">
        <v>46310</v>
      </c>
    </row>
    <row r="25" customFormat="false" ht="79.85" hidden="false" customHeight="false" outlineLevel="0" collapsed="false">
      <c r="A25" s="2" t="s">
        <v>109</v>
      </c>
      <c r="B25" s="2" t="s">
        <v>14</v>
      </c>
      <c r="C25" s="2" t="s">
        <v>15</v>
      </c>
      <c r="D25" s="3" t="s">
        <v>110</v>
      </c>
      <c r="E25" s="3" t="s">
        <v>111</v>
      </c>
      <c r="F25" s="3" t="s">
        <v>112</v>
      </c>
      <c r="G25" s="4" t="n">
        <v>26000000</v>
      </c>
      <c r="H25" s="4" t="n">
        <v>26000000</v>
      </c>
      <c r="I25" s="3" t="str">
        <f aca="false">IF(G25=H25,"Rp "&amp;TEXT(G25,"#,##0"),"Rp "&amp;TEXT(G25,"#,##0")&amp;" - Rp "&amp;TEXT(H25,"#,##0"))</f>
        <v>Rp 26,000,000</v>
      </c>
      <c r="J25" s="3" t="s">
        <v>113</v>
      </c>
      <c r="K25" s="3" t="s">
        <v>114</v>
      </c>
      <c r="L25" s="3" t="s">
        <v>115</v>
      </c>
      <c r="M25" s="5" t="n">
        <v>46310</v>
      </c>
    </row>
    <row r="26" customFormat="false" ht="68.65" hidden="false" customHeight="false" outlineLevel="0" collapsed="false">
      <c r="A26" s="2" t="s">
        <v>116</v>
      </c>
      <c r="B26" s="2" t="s">
        <v>14</v>
      </c>
      <c r="C26" s="2" t="s">
        <v>15</v>
      </c>
      <c r="D26" s="3" t="s">
        <v>117</v>
      </c>
      <c r="E26" s="3" t="s">
        <v>111</v>
      </c>
      <c r="F26" s="3" t="s">
        <v>112</v>
      </c>
      <c r="G26" s="4" t="n">
        <v>26000000</v>
      </c>
      <c r="H26" s="4" t="n">
        <v>26000000</v>
      </c>
      <c r="I26" s="3" t="str">
        <f aca="false">IF(G26=H26,"Rp "&amp;TEXT(G26,"#,##0"),"Rp "&amp;TEXT(G26,"#,##0")&amp;" - Rp "&amp;TEXT(H26,"#,##0"))</f>
        <v>Rp 26,000,000</v>
      </c>
      <c r="J26" s="3" t="s">
        <v>118</v>
      </c>
      <c r="K26" s="3" t="s">
        <v>119</v>
      </c>
      <c r="L26" s="3" t="s">
        <v>115</v>
      </c>
      <c r="M26" s="5" t="n">
        <v>46310</v>
      </c>
    </row>
    <row r="27" customFormat="false" ht="79.85" hidden="false" customHeight="false" outlineLevel="0" collapsed="false">
      <c r="A27" s="2" t="s">
        <v>120</v>
      </c>
      <c r="B27" s="2" t="s">
        <v>14</v>
      </c>
      <c r="C27" s="2" t="s">
        <v>15</v>
      </c>
      <c r="D27" s="3" t="s">
        <v>110</v>
      </c>
      <c r="E27" s="3" t="s">
        <v>111</v>
      </c>
      <c r="F27" s="3" t="s">
        <v>69</v>
      </c>
      <c r="G27" s="4" t="n">
        <v>12800000</v>
      </c>
      <c r="H27" s="4" t="n">
        <v>12800000</v>
      </c>
      <c r="I27" s="3" t="str">
        <f aca="false">IF(G27=H27,"Rp "&amp;TEXT(G27,"#,##0"),"Rp "&amp;TEXT(G27,"#,##0")&amp;" - Rp "&amp;TEXT(H27,"#,##0"))</f>
        <v>Rp 12,800,000</v>
      </c>
      <c r="J27" s="3" t="s">
        <v>121</v>
      </c>
      <c r="K27" s="3" t="s">
        <v>122</v>
      </c>
      <c r="L27" s="3" t="s">
        <v>115</v>
      </c>
      <c r="M27" s="5" t="n">
        <v>46310</v>
      </c>
    </row>
    <row r="28" customFormat="false" ht="68.65" hidden="false" customHeight="false" outlineLevel="0" collapsed="false">
      <c r="A28" s="2" t="s">
        <v>123</v>
      </c>
      <c r="B28" s="2" t="s">
        <v>27</v>
      </c>
      <c r="C28" s="2" t="s">
        <v>15</v>
      </c>
      <c r="D28" s="3" t="s">
        <v>124</v>
      </c>
      <c r="E28" s="3" t="s">
        <v>111</v>
      </c>
      <c r="F28" s="3" t="s">
        <v>112</v>
      </c>
      <c r="G28" s="4" t="n">
        <v>23100000</v>
      </c>
      <c r="H28" s="4" t="n">
        <v>23100000</v>
      </c>
      <c r="I28" s="3" t="str">
        <f aca="false">IF(G28=H28,"Rp "&amp;TEXT(G28,"#,##0"),"Rp "&amp;TEXT(G28,"#,##0")&amp;" - Rp "&amp;TEXT(H28,"#,##0"))</f>
        <v>Rp 23,100,000</v>
      </c>
      <c r="J28" s="3" t="s">
        <v>125</v>
      </c>
      <c r="K28" s="3" t="s">
        <v>126</v>
      </c>
      <c r="L28" s="3" t="s">
        <v>115</v>
      </c>
      <c r="M28" s="5" t="n">
        <v>46310</v>
      </c>
    </row>
    <row r="29" customFormat="false" ht="68.65" hidden="false" customHeight="false" outlineLevel="0" collapsed="false">
      <c r="A29" s="2" t="s">
        <v>127</v>
      </c>
      <c r="B29" s="2" t="s">
        <v>27</v>
      </c>
      <c r="C29" s="2" t="s">
        <v>15</v>
      </c>
      <c r="D29" s="3" t="s">
        <v>128</v>
      </c>
      <c r="E29" s="3" t="s">
        <v>111</v>
      </c>
      <c r="F29" s="3" t="s">
        <v>112</v>
      </c>
      <c r="G29" s="4" t="n">
        <v>23100000</v>
      </c>
      <c r="H29" s="4" t="n">
        <v>23100000</v>
      </c>
      <c r="I29" s="3" t="str">
        <f aca="false">IF(G29=H29,"Rp "&amp;TEXT(G29,"#,##0"),"Rp "&amp;TEXT(G29,"#,##0")&amp;" - Rp "&amp;TEXT(H29,"#,##0"))</f>
        <v>Rp 23,100,000</v>
      </c>
      <c r="J29" s="3" t="s">
        <v>129</v>
      </c>
      <c r="K29" s="3" t="s">
        <v>130</v>
      </c>
      <c r="L29" s="3" t="s">
        <v>115</v>
      </c>
      <c r="M29" s="5" t="n">
        <v>46310</v>
      </c>
    </row>
    <row r="30" customFormat="false" ht="68.65" hidden="false" customHeight="false" outlineLevel="0" collapsed="false">
      <c r="A30" s="2" t="s">
        <v>131</v>
      </c>
      <c r="B30" s="2" t="s">
        <v>27</v>
      </c>
      <c r="C30" s="2" t="s">
        <v>15</v>
      </c>
      <c r="D30" s="3" t="s">
        <v>132</v>
      </c>
      <c r="E30" s="3" t="s">
        <v>111</v>
      </c>
      <c r="F30" s="3" t="s">
        <v>69</v>
      </c>
      <c r="G30" s="4" t="n">
        <v>12800000</v>
      </c>
      <c r="H30" s="4" t="n">
        <v>12800000</v>
      </c>
      <c r="I30" s="3" t="str">
        <f aca="false">IF(G30=H30,"Rp "&amp;TEXT(G30,"#,##0"),"Rp "&amp;TEXT(G30,"#,##0")&amp;" - Rp "&amp;TEXT(H30,"#,##0"))</f>
        <v>Rp 12,800,000</v>
      </c>
      <c r="J30" s="3" t="s">
        <v>133</v>
      </c>
      <c r="K30" s="3" t="s">
        <v>122</v>
      </c>
      <c r="L30" s="3" t="s">
        <v>115</v>
      </c>
      <c r="M30" s="5" t="n">
        <v>46310</v>
      </c>
    </row>
    <row r="31" customFormat="false" ht="79.85" hidden="false" customHeight="false" outlineLevel="0" collapsed="false">
      <c r="A31" s="2" t="s">
        <v>134</v>
      </c>
      <c r="B31" s="2" t="s">
        <v>14</v>
      </c>
      <c r="C31" s="2" t="s">
        <v>59</v>
      </c>
      <c r="D31" s="3" t="s">
        <v>135</v>
      </c>
      <c r="E31" s="3" t="s">
        <v>136</v>
      </c>
      <c r="F31" s="3" t="s">
        <v>34</v>
      </c>
      <c r="G31" s="4" t="n">
        <v>550000</v>
      </c>
      <c r="H31" s="4" t="n">
        <v>10000000</v>
      </c>
      <c r="I31" s="3" t="str">
        <f aca="false">IF(G31=H31,"Rp "&amp;TEXT(G31,"#,##0"),"Rp "&amp;TEXT(G31,"#,##0")&amp;" - Rp "&amp;TEXT(H31,"#,##0"))</f>
        <v>Rp 550,000 - Rp 10,000,000</v>
      </c>
      <c r="J31" s="3" t="s">
        <v>137</v>
      </c>
      <c r="K31" s="3" t="s">
        <v>138</v>
      </c>
      <c r="L31" s="3" t="s">
        <v>139</v>
      </c>
      <c r="M31" s="5" t="n">
        <v>46310</v>
      </c>
    </row>
    <row r="32" customFormat="false" ht="79.85" hidden="false" customHeight="false" outlineLevel="0" collapsed="false">
      <c r="A32" s="2" t="s">
        <v>140</v>
      </c>
      <c r="B32" s="2" t="s">
        <v>14</v>
      </c>
      <c r="C32" s="2" t="s">
        <v>99</v>
      </c>
      <c r="D32" s="3" t="s">
        <v>135</v>
      </c>
      <c r="E32" s="3" t="s">
        <v>136</v>
      </c>
      <c r="F32" s="3" t="s">
        <v>34</v>
      </c>
      <c r="G32" s="4" t="n">
        <v>550000</v>
      </c>
      <c r="H32" s="4" t="n">
        <v>10000000</v>
      </c>
      <c r="I32" s="3" t="str">
        <f aca="false">IF(G32=H32,"Rp "&amp;TEXT(G32,"#,##0"),"Rp "&amp;TEXT(G32,"#,##0")&amp;" - Rp "&amp;TEXT(H32,"#,##0"))</f>
        <v>Rp 550,000 - Rp 10,000,000</v>
      </c>
      <c r="J32" s="3" t="s">
        <v>141</v>
      </c>
      <c r="K32" s="3" t="s">
        <v>142</v>
      </c>
      <c r="L32" s="3" t="s">
        <v>139</v>
      </c>
      <c r="M32" s="5" t="n">
        <v>46310</v>
      </c>
    </row>
    <row r="33" customFormat="false" ht="68.65" hidden="false" customHeight="false" outlineLevel="0" collapsed="false">
      <c r="A33" s="2" t="s">
        <v>143</v>
      </c>
      <c r="B33" s="2" t="s">
        <v>27</v>
      </c>
      <c r="C33" s="2" t="s">
        <v>59</v>
      </c>
      <c r="D33" s="3" t="s">
        <v>144</v>
      </c>
      <c r="E33" s="3" t="s">
        <v>136</v>
      </c>
      <c r="F33" s="3" t="s">
        <v>34</v>
      </c>
      <c r="G33" s="4" t="n">
        <v>500000</v>
      </c>
      <c r="H33" s="4" t="n">
        <v>8500000</v>
      </c>
      <c r="I33" s="3" t="str">
        <f aca="false">IF(G33=H33,"Rp "&amp;TEXT(G33,"#,##0"),"Rp "&amp;TEXT(G33,"#,##0")&amp;" - Rp "&amp;TEXT(H33,"#,##0"))</f>
        <v>Rp 500,000 - Rp 8,500,000</v>
      </c>
      <c r="J33" s="3" t="s">
        <v>145</v>
      </c>
      <c r="K33" s="3" t="s">
        <v>146</v>
      </c>
      <c r="L33" s="3" t="s">
        <v>139</v>
      </c>
      <c r="M33" s="5" t="n">
        <v>46310</v>
      </c>
    </row>
    <row r="34" customFormat="false" ht="79.85" hidden="false" customHeight="false" outlineLevel="0" collapsed="false">
      <c r="A34" s="2" t="s">
        <v>147</v>
      </c>
      <c r="B34" s="2" t="s">
        <v>27</v>
      </c>
      <c r="C34" s="2" t="s">
        <v>99</v>
      </c>
      <c r="D34" s="3" t="s">
        <v>83</v>
      </c>
      <c r="E34" s="3" t="s">
        <v>136</v>
      </c>
      <c r="F34" s="3" t="s">
        <v>34</v>
      </c>
      <c r="G34" s="4" t="n">
        <v>500000</v>
      </c>
      <c r="H34" s="4" t="n">
        <v>8500000</v>
      </c>
      <c r="I34" s="3" t="str">
        <f aca="false">IF(G34=H34,"Rp "&amp;TEXT(G34,"#,##0"),"Rp "&amp;TEXT(G34,"#,##0")&amp;" - Rp "&amp;TEXT(H34,"#,##0"))</f>
        <v>Rp 500,000 - Rp 8,500,000</v>
      </c>
      <c r="J34" s="3" t="s">
        <v>148</v>
      </c>
      <c r="K34" s="3" t="s">
        <v>149</v>
      </c>
      <c r="L34" s="3" t="s">
        <v>139</v>
      </c>
      <c r="M34" s="5" t="n">
        <v>46310</v>
      </c>
    </row>
  </sheetData>
  <autoFilter ref="A1:M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6" t="s">
        <v>150</v>
      </c>
    </row>
    <row r="2" customFormat="false" ht="23.85" hidden="false" customHeight="false" outlineLevel="0" collapsed="false">
      <c r="A2" s="3" t="s">
        <v>151</v>
      </c>
    </row>
    <row r="3" customFormat="false" ht="15" hidden="false" customHeight="false" outlineLevel="0" collapsed="false">
      <c r="A3" s="3" t="s">
        <v>152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6" t="s">
        <v>153</v>
      </c>
    </row>
    <row r="6" customFormat="false" ht="15" hidden="false" customHeight="false" outlineLevel="0" collapsed="false">
      <c r="A6" s="3" t="s">
        <v>154</v>
      </c>
    </row>
    <row r="7" customFormat="false" ht="15" hidden="false" customHeight="false" outlineLevel="0" collapsed="false">
      <c r="A7" s="3" t="s">
        <v>155</v>
      </c>
    </row>
    <row r="8" customFormat="false" ht="23.85" hidden="false" customHeight="false" outlineLevel="0" collapsed="false">
      <c r="A8" s="3" t="s">
        <v>156</v>
      </c>
    </row>
    <row r="9" customFormat="false" ht="15" hidden="false" customHeight="false" outlineLevel="0" collapsed="false">
      <c r="A9" s="3" t="s">
        <v>157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6" t="s">
        <v>158</v>
      </c>
    </row>
    <row r="12" customFormat="false" ht="23.85" hidden="false" customHeight="false" outlineLevel="0" collapsed="false">
      <c r="A12" s="3" t="s">
        <v>159</v>
      </c>
    </row>
    <row r="13" customFormat="false" ht="15" hidden="false" customHeight="false" outlineLevel="0" collapsed="false">
      <c r="A13" s="3" t="s">
        <v>160</v>
      </c>
    </row>
    <row r="14" customFormat="false" ht="23.85" hidden="false" customHeight="false" outlineLevel="0" collapsed="false">
      <c r="A14" s="3" t="s">
        <v>161</v>
      </c>
    </row>
    <row r="15" customFormat="false" ht="15" hidden="false" customHeight="false" outlineLevel="0" collapsed="false">
      <c r="A15" s="3" t="s">
        <v>162</v>
      </c>
    </row>
    <row r="16" customFormat="false" ht="23.85" hidden="false" customHeight="false" outlineLevel="0" collapsed="false">
      <c r="A16" s="3" t="s">
        <v>163</v>
      </c>
    </row>
    <row r="17" customFormat="false" ht="15" hidden="false" customHeight="false" outlineLevel="0" collapsed="false">
      <c r="A17" s="3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2026-10-15T05:56:44Z</dcterms:created>
  <dc:creator>openpyxl</dc:creator>
  <dc:description/>
  <dc:language>en-US</dc:language>
  <cp:lastModifiedBy/>
  <dcterms:modified xsi:type="dcterms:W3CDTF">2026-10-15T05:56:44Z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